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IGOR004\Desktop\software_emissoes_24-02\"/>
    </mc:Choice>
  </mc:AlternateContent>
  <xr:revisionPtr revIDLastSave="0" documentId="13_ncr:1_{6EA1B812-6DBD-4372-9069-856B002FE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3" i="1"/>
</calcChain>
</file>

<file path=xl/sharedStrings.xml><?xml version="1.0" encoding="utf-8"?>
<sst xmlns="http://schemas.openxmlformats.org/spreadsheetml/2006/main" count="33" uniqueCount="32">
  <si>
    <t>CO2</t>
  </si>
  <si>
    <t>CH4</t>
  </si>
  <si>
    <t>N2O</t>
  </si>
  <si>
    <t>C2H6</t>
  </si>
  <si>
    <t>C3H8</t>
  </si>
  <si>
    <t>C4H10</t>
  </si>
  <si>
    <t>gwp</t>
  </si>
  <si>
    <t>density</t>
  </si>
  <si>
    <t>tau</t>
  </si>
  <si>
    <t>ref</t>
  </si>
  <si>
    <t>opgee doc</t>
  </si>
  <si>
    <t>70.48</t>
  </si>
  <si>
    <t>53.29</t>
  </si>
  <si>
    <t>52.16</t>
  </si>
  <si>
    <t>35.79</t>
  </si>
  <si>
    <t>18.92</t>
  </si>
  <si>
    <t>51.70</t>
  </si>
  <si>
    <t>https://www.engineeringtoolbox.com/gas-density-d_158.html</t>
  </si>
  <si>
    <t>g/ft3</t>
  </si>
  <si>
    <t>https://uk-air.defra.gov.uk/assets/documents/reports/cat07/0710011214_ED48749_VOC_Incineration_-_CC_Report_v3.pdf</t>
  </si>
  <si>
    <t>CO</t>
  </si>
  <si>
    <t>1.6</t>
  </si>
  <si>
    <t>32.97</t>
  </si>
  <si>
    <t>fluid</t>
  </si>
  <si>
    <t>H2O</t>
  </si>
  <si>
    <t>cid</t>
  </si>
  <si>
    <t>O2</t>
  </si>
  <si>
    <t>40.46</t>
  </si>
  <si>
    <t>22.65</t>
  </si>
  <si>
    <t>N2</t>
  </si>
  <si>
    <t>35.39</t>
  </si>
  <si>
    <t>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</si>
</sst>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3" fontId="0" fillId="0" borderId="0" xfId="0" applyNumberForma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gineeringtoolbox.com/gas-density-d_1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C7" sqref="C7"/>
    </sheetView>
  </sheetViews>
  <sheetFormatPr defaultRowHeight="15" x14ac:dyDescent="0.25"/>
  <cols>
    <col min="1" max="2" width="14.7109375" style="1" customWidth="1"/>
    <col min="3" max="4" width="16.5703125" style="1" customWidth="1"/>
    <col min="5" max="5" width="22.85546875" style="1" customWidth="1"/>
  </cols>
  <sheetData>
    <row r="1" spans="1:8" x14ac:dyDescent="0.25">
      <c r="A1" s="1" t="s">
        <v>23</v>
      </c>
      <c r="B1" s="1" t="s">
        <v>25</v>
      </c>
      <c r="C1" s="1" t="s">
        <v>6</v>
      </c>
      <c r="D1" s="1" t="s">
        <v>7</v>
      </c>
      <c r="E1" s="1" t="s">
        <v>8</v>
      </c>
      <c r="F1" s="1"/>
      <c r="G1" s="1"/>
      <c r="H1" s="1"/>
    </row>
    <row r="2" spans="1:8" x14ac:dyDescent="0.25">
      <c r="A2" s="1" t="s">
        <v>29</v>
      </c>
      <c r="B2" s="1">
        <v>0</v>
      </c>
      <c r="C2" s="1">
        <v>0</v>
      </c>
      <c r="D2" s="1" t="s">
        <v>30</v>
      </c>
      <c r="E2" s="1">
        <v>0</v>
      </c>
      <c r="F2" s="1"/>
      <c r="G2" s="1"/>
      <c r="H2" s="1"/>
    </row>
    <row r="3" spans="1:8" x14ac:dyDescent="0.25">
      <c r="A3" s="5" t="s">
        <v>0</v>
      </c>
      <c r="B3" s="5">
        <v>280</v>
      </c>
      <c r="C3" s="1">
        <v>1</v>
      </c>
      <c r="D3" s="1" t="s">
        <v>13</v>
      </c>
      <c r="E3" s="1">
        <f>1</f>
        <v>1</v>
      </c>
      <c r="F3" s="1"/>
      <c r="G3" s="1"/>
      <c r="H3" s="1"/>
    </row>
    <row r="4" spans="1:8" x14ac:dyDescent="0.25">
      <c r="A4" s="5" t="s">
        <v>20</v>
      </c>
      <c r="B4" s="5">
        <v>281</v>
      </c>
      <c r="C4" s="1" t="s">
        <v>21</v>
      </c>
      <c r="D4" s="1" t="s">
        <v>22</v>
      </c>
      <c r="E4" s="1">
        <v>1.57</v>
      </c>
      <c r="F4" s="1"/>
      <c r="G4" s="1"/>
      <c r="H4" s="1"/>
    </row>
    <row r="5" spans="1:8" x14ac:dyDescent="0.25">
      <c r="A5" s="6" t="s">
        <v>1</v>
      </c>
      <c r="B5" s="6">
        <v>297</v>
      </c>
      <c r="C5" s="1">
        <v>25</v>
      </c>
      <c r="D5" s="1" t="s">
        <v>15</v>
      </c>
      <c r="E5" s="1">
        <f>44/16</f>
        <v>2.75</v>
      </c>
      <c r="F5" s="1"/>
      <c r="G5" s="1"/>
      <c r="H5" s="1"/>
    </row>
    <row r="6" spans="1:8" x14ac:dyDescent="0.25">
      <c r="A6" s="6" t="s">
        <v>2</v>
      </c>
      <c r="B6" s="6">
        <v>948</v>
      </c>
      <c r="C6" s="1">
        <v>298</v>
      </c>
      <c r="D6" s="1" t="s">
        <v>16</v>
      </c>
      <c r="E6" s="1">
        <f>298</f>
        <v>298</v>
      </c>
      <c r="F6" s="1"/>
      <c r="G6" s="1"/>
      <c r="H6" s="1"/>
    </row>
    <row r="7" spans="1:8" x14ac:dyDescent="0.25">
      <c r="A7" s="6" t="s">
        <v>3</v>
      </c>
      <c r="B7" s="6">
        <v>6324</v>
      </c>
      <c r="C7" s="1" t="s">
        <v>31</v>
      </c>
      <c r="D7" s="1" t="s">
        <v>14</v>
      </c>
      <c r="E7" s="1">
        <f>88/30</f>
        <v>2.9333333333333331</v>
      </c>
      <c r="F7" s="1"/>
      <c r="G7" s="1"/>
      <c r="H7" s="1"/>
    </row>
    <row r="8" spans="1:8" x14ac:dyDescent="0.25">
      <c r="A8" s="6" t="s">
        <v>4</v>
      </c>
      <c r="B8" s="6">
        <v>137750</v>
      </c>
      <c r="C8" s="1" t="s">
        <v>31</v>
      </c>
      <c r="D8" s="1" t="s">
        <v>12</v>
      </c>
      <c r="E8" s="1">
        <f>132/44</f>
        <v>3</v>
      </c>
      <c r="F8" s="1"/>
      <c r="G8" s="1"/>
      <c r="H8" s="1"/>
    </row>
    <row r="9" spans="1:8" x14ac:dyDescent="0.25">
      <c r="A9" s="6" t="s">
        <v>5</v>
      </c>
      <c r="B9" s="6">
        <v>7843</v>
      </c>
      <c r="C9" s="1">
        <v>7</v>
      </c>
      <c r="D9" s="1" t="s">
        <v>11</v>
      </c>
      <c r="E9" s="1">
        <f>176/58</f>
        <v>3.0344827586206895</v>
      </c>
      <c r="F9" s="1"/>
      <c r="G9" s="1"/>
      <c r="H9" s="1"/>
    </row>
    <row r="10" spans="1:8" x14ac:dyDescent="0.25">
      <c r="A10" s="6" t="s">
        <v>24</v>
      </c>
      <c r="B10" s="6">
        <v>962</v>
      </c>
      <c r="C10" s="1">
        <v>0</v>
      </c>
      <c r="D10" s="1" t="s">
        <v>28</v>
      </c>
      <c r="E10" s="1">
        <v>0</v>
      </c>
      <c r="F10" s="1"/>
      <c r="G10" s="1"/>
      <c r="H10" s="1"/>
    </row>
    <row r="11" spans="1:8" x14ac:dyDescent="0.25">
      <c r="A11" s="6" t="s">
        <v>26</v>
      </c>
      <c r="B11" s="6">
        <v>977</v>
      </c>
      <c r="C11" s="1">
        <v>0</v>
      </c>
      <c r="D11" s="7" t="s">
        <v>27</v>
      </c>
      <c r="F11" s="1"/>
      <c r="G11" s="1"/>
      <c r="H11" s="1"/>
    </row>
    <row r="12" spans="1:8" x14ac:dyDescent="0.25">
      <c r="A12" s="1" t="s">
        <v>9</v>
      </c>
      <c r="C12" s="3" t="s">
        <v>19</v>
      </c>
      <c r="D12" s="4" t="s">
        <v>17</v>
      </c>
      <c r="E12" s="3" t="s">
        <v>10</v>
      </c>
    </row>
    <row r="13" spans="1:8" x14ac:dyDescent="0.25">
      <c r="D13" s="1" t="s">
        <v>18</v>
      </c>
    </row>
    <row r="18" spans="9:9" x14ac:dyDescent="0.25">
      <c r="I18" s="2"/>
    </row>
  </sheetData>
  <hyperlinks>
    <hyperlink ref="D12" r:id="rId1" xr:uid="{179DDE2B-7434-41C9-9FCA-63156B623D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Monforte</dc:creator>
  <cp:lastModifiedBy>Pedro Enrique  Monforte</cp:lastModifiedBy>
  <dcterms:created xsi:type="dcterms:W3CDTF">2015-06-05T18:19:34Z</dcterms:created>
  <dcterms:modified xsi:type="dcterms:W3CDTF">2025-04-11T14:53:49Z</dcterms:modified>
</cp:coreProperties>
</file>